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rinarozniak/Library/Mobile Documents/com~apple~CloudDocs/perso/80 ans maman/"/>
    </mc:Choice>
  </mc:AlternateContent>
  <xr:revisionPtr revIDLastSave="0" documentId="8_{25C0A3E1-B26D-3247-B809-974F1EC26CDB}" xr6:coauthVersionLast="47" xr6:coauthVersionMax="47" xr10:uidLastSave="{00000000-0000-0000-0000-000000000000}"/>
  <bookViews>
    <workbookView xWindow="7480" yWindow="660" windowWidth="16720" windowHeight="17680" xr2:uid="{6CFE4297-F343-FB47-A74D-67328496DA21}"/>
  </bookViews>
  <sheets>
    <sheet name="Feuil1" sheetId="1" r:id="rId1"/>
  </sheets>
  <definedNames>
    <definedName name="_xlnm._FilterDatabase" localSheetId="0" hidden="1">Feuil1!$A$1:$I$42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1" l="1"/>
  <c r="F43" i="1" s="1"/>
  <c r="H42" i="1"/>
  <c r="G42" i="1"/>
  <c r="G43" i="1" s="1"/>
</calcChain>
</file>

<file path=xl/sharedStrings.xml><?xml version="1.0" encoding="utf-8"?>
<sst xmlns="http://schemas.openxmlformats.org/spreadsheetml/2006/main" count="174" uniqueCount="104">
  <si>
    <t>Combien d'adultes (16 ans et +, vous compris) viennent avec vous ?</t>
  </si>
  <si>
    <t>Combien d'enfants viennent avec vous (jusqu'à 15 ans) ?</t>
  </si>
  <si>
    <t>En cas d’allergies alimentaire, merci de préciser lesquelles :</t>
  </si>
  <si>
    <t>Gluten blanc d oeuf</t>
  </si>
  <si>
    <t>Pascale et Laurent Gadenne-Bricout</t>
  </si>
  <si>
    <t>Aucune </t>
  </si>
  <si>
    <t>WATINE Léa </t>
  </si>
  <si>
    <t>Perrine JHOWRY </t>
  </si>
  <si>
    <t>Sans porc sans bœuf </t>
  </si>
  <si>
    <t>Louise Narozniak </t>
  </si>
  <si>
    <t>Blandine et Godefroy Denoyelle</t>
  </si>
  <si>
    <t>Blandine : allergique au gluten</t>
  </si>
  <si>
    <t>Nathalie Lecomte Whitaker </t>
  </si>
  <si>
    <t>Gaëtan Narozniak</t>
  </si>
  <si>
    <t>Olivia Thibault Requillart</t>
  </si>
  <si>
    <t>Stephane Thibault</t>
  </si>
  <si>
    <t>Félix Watine</t>
  </si>
  <si>
    <t>Fanny Demeestère et christophe Deligne</t>
  </si>
  <si>
    <t>Claire et Patrice Bricout réponse familiale </t>
  </si>
  <si>
    <t>Véronique Brabant </t>
  </si>
  <si>
    <t>Cyril lecomte</t>
  </si>
  <si>
    <t>Olivier Rouy</t>
  </si>
  <si>
    <t>Augustin Brabant</t>
  </si>
  <si>
    <t>Absent malheureusement </t>
  </si>
  <si>
    <t>Alexandre Brabant </t>
  </si>
  <si>
    <t>Nous ne pouvons être présents</t>
  </si>
  <si>
    <t>Marion Denoyelle </t>
  </si>
  <si>
    <t>Brabant adrien </t>
  </si>
  <si>
    <t>O nous ne sommes pas disponibles, merci quand même </t>
  </si>
  <si>
    <t>Karine Devilder (Watine)</t>
  </si>
  <si>
    <t>Pomme de terre - gluten -</t>
  </si>
  <si>
    <t>CANY Charlotte </t>
  </si>
  <si>
    <t>Absente, je serai au Canada :)</t>
  </si>
  <si>
    <t>Sophie Cany Demeestère </t>
  </si>
  <si>
    <t>Jacky Bricout </t>
  </si>
  <si>
    <t>André Eric Fauchille</t>
  </si>
  <si>
    <t>Hugues et Constance Fauchille</t>
  </si>
  <si>
    <t>Pas d’allergies</t>
  </si>
  <si>
    <t>Martin et Anne Toulemonde </t>
  </si>
  <si>
    <t>France et François Delannoy</t>
  </si>
  <si>
    <t>Ne pourront pas etre présents</t>
  </si>
  <si>
    <t>Damien narozniak </t>
  </si>
  <si>
    <t>Pia Morzynski </t>
  </si>
  <si>
    <t>Séverine et Fabien Duprez </t>
  </si>
  <si>
    <t>Non</t>
  </si>
  <si>
    <t>Arthur Devilder</t>
  </si>
  <si>
    <t>Caroline Toulemonde </t>
  </si>
  <si>
    <t>Muriel Watine </t>
  </si>
  <si>
    <t>Juliette Cany - absente le 24 mai malheureusement</t>
  </si>
  <si>
    <t>confirm</t>
  </si>
  <si>
    <t>Nom</t>
  </si>
  <si>
    <t>Prenom</t>
  </si>
  <si>
    <t>Famille</t>
  </si>
  <si>
    <t>Denoyelle</t>
  </si>
  <si>
    <t>demeestere</t>
  </si>
  <si>
    <t>Gadenne</t>
  </si>
  <si>
    <t>bricout</t>
  </si>
  <si>
    <t>watine</t>
  </si>
  <si>
    <t>Jowhry</t>
  </si>
  <si>
    <t>Narozniak</t>
  </si>
  <si>
    <t>Lecomte</t>
  </si>
  <si>
    <t>Requillart</t>
  </si>
  <si>
    <t>Thibault</t>
  </si>
  <si>
    <t>Demeestere</t>
  </si>
  <si>
    <t>Bricout</t>
  </si>
  <si>
    <t>Brabant</t>
  </si>
  <si>
    <t>fauchille</t>
  </si>
  <si>
    <t>Dominique et Camille Delannoy</t>
  </si>
  <si>
    <t>Delannoy</t>
  </si>
  <si>
    <t>Rouy</t>
  </si>
  <si>
    <t>Denoyelle Quentin et Elisabeth</t>
  </si>
  <si>
    <t>Devilder</t>
  </si>
  <si>
    <t>Toulemonde</t>
  </si>
  <si>
    <t>Morzynski</t>
  </si>
  <si>
    <t>Duprez</t>
  </si>
  <si>
    <t>Yuri et Valerie</t>
  </si>
  <si>
    <t>Nicolas et Carine</t>
  </si>
  <si>
    <t>Wladimir et Christine</t>
  </si>
  <si>
    <t>Basile et Clémence</t>
  </si>
  <si>
    <t>Letourneux</t>
  </si>
  <si>
    <t>Letourneux Pascale et Fanny</t>
  </si>
  <si>
    <t>Descamps</t>
  </si>
  <si>
    <t>Tanguy et Lucie Steeg</t>
  </si>
  <si>
    <t>Steeg</t>
  </si>
  <si>
    <t>Fauchille</t>
  </si>
  <si>
    <t>Mathias Watine</t>
  </si>
  <si>
    <t>Watine</t>
  </si>
  <si>
    <t>Nadine Watine</t>
  </si>
  <si>
    <t>??</t>
  </si>
  <si>
    <t>Frédéic et Catherine Lecomte</t>
  </si>
  <si>
    <t>Arnaud bricout</t>
  </si>
  <si>
    <t>TOTAL</t>
  </si>
  <si>
    <t>règlement</t>
  </si>
  <si>
    <t>Marie Alard Bricout</t>
  </si>
  <si>
    <t>Alard Bricout</t>
  </si>
  <si>
    <t>Martin Bricout</t>
  </si>
  <si>
    <t>Pauline Mouton</t>
  </si>
  <si>
    <t>Mouton Bricout</t>
  </si>
  <si>
    <t>Frédéric Lecomte</t>
  </si>
  <si>
    <t>generation</t>
  </si>
  <si>
    <t>2 et 3</t>
  </si>
  <si>
    <t>3 et 4</t>
  </si>
  <si>
    <t>2 et 3 et 4</t>
  </si>
  <si>
    <t>2 3 et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</si>
</sst>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22" fontId="3" fillId="0" borderId="0" xfId="0" applyNumberFormat="1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C898B-6AF8-164E-8375-450BEBA912CF}">
  <dimension ref="A1:O143"/>
  <sheetViews>
    <sheetView tabSelected="1" topLeftCell="A7" zoomScaleNormal="100" workbookViewId="0">
      <selection activeCell="E41" sqref="E41"/>
    </sheetView>
  </sheetViews>
  <sheetFormatPr baseColWidth="10" defaultRowHeight="16" x14ac:dyDescent="0.2"/>
  <cols>
    <col min="1" max="1" width="15.1640625" bestFit="1" customWidth="1"/>
    <col min="2" max="2" width="39" bestFit="1" customWidth="1"/>
    <col min="3" max="3" width="14.1640625" customWidth="1"/>
    <col min="4" max="5" width="15.5" customWidth="1"/>
    <col min="6" max="6" width="8.6640625" customWidth="1"/>
    <col min="7" max="7" width="19" customWidth="1"/>
  </cols>
  <sheetData>
    <row r="1" spans="1:15" s="6" customFormat="1" x14ac:dyDescent="0.2">
      <c r="A1" s="4" t="s">
        <v>49</v>
      </c>
      <c r="B1" s="4" t="s">
        <v>51</v>
      </c>
      <c r="C1" s="4" t="s">
        <v>50</v>
      </c>
      <c r="D1" s="4" t="s">
        <v>52</v>
      </c>
      <c r="E1" s="4" t="s">
        <v>99</v>
      </c>
      <c r="F1" s="4" t="s">
        <v>92</v>
      </c>
      <c r="G1" s="4" t="s">
        <v>0</v>
      </c>
      <c r="H1" s="4" t="s">
        <v>1</v>
      </c>
      <c r="I1" s="4" t="s">
        <v>2</v>
      </c>
      <c r="J1" s="5"/>
      <c r="K1" s="5"/>
      <c r="L1" s="5"/>
      <c r="M1" s="5"/>
      <c r="N1" s="5"/>
      <c r="O1" s="5"/>
    </row>
    <row r="2" spans="1:15" x14ac:dyDescent="0.2">
      <c r="A2" s="2">
        <v>46051.91673611111</v>
      </c>
      <c r="B2" s="7" t="s">
        <v>93</v>
      </c>
      <c r="C2" s="3" t="s">
        <v>94</v>
      </c>
      <c r="D2" s="3" t="s">
        <v>56</v>
      </c>
      <c r="E2" s="3">
        <v>3</v>
      </c>
      <c r="F2" s="3">
        <v>25</v>
      </c>
      <c r="G2" s="3">
        <v>1</v>
      </c>
      <c r="H2" s="3"/>
      <c r="I2" s="3"/>
      <c r="J2" s="1"/>
      <c r="K2" s="1"/>
      <c r="L2" s="1"/>
      <c r="M2" s="1"/>
      <c r="N2" s="1"/>
      <c r="O2" s="1"/>
    </row>
    <row r="3" spans="1:15" x14ac:dyDescent="0.2">
      <c r="A3" s="2">
        <v>46065.487870370373</v>
      </c>
      <c r="B3" s="7" t="s">
        <v>19</v>
      </c>
      <c r="C3" s="3" t="s">
        <v>65</v>
      </c>
      <c r="D3" s="3" t="s">
        <v>66</v>
      </c>
      <c r="E3" s="3">
        <v>2</v>
      </c>
      <c r="F3" s="3">
        <v>50</v>
      </c>
      <c r="G3" s="3">
        <v>2</v>
      </c>
      <c r="H3" s="3">
        <v>0</v>
      </c>
      <c r="I3" s="1"/>
      <c r="J3" s="1"/>
      <c r="K3" s="1"/>
      <c r="L3" s="1"/>
      <c r="M3" s="1"/>
      <c r="N3" s="1"/>
      <c r="O3" s="1"/>
    </row>
    <row r="4" spans="1:15" x14ac:dyDescent="0.2">
      <c r="A4" s="2">
        <v>46051.91673611111</v>
      </c>
      <c r="B4" s="7" t="s">
        <v>18</v>
      </c>
      <c r="C4" s="3" t="s">
        <v>64</v>
      </c>
      <c r="D4" s="3" t="s">
        <v>56</v>
      </c>
      <c r="E4" s="3" t="s">
        <v>102</v>
      </c>
      <c r="F4" s="3">
        <v>200</v>
      </c>
      <c r="G4" s="3">
        <v>4</v>
      </c>
      <c r="H4" s="3">
        <v>4</v>
      </c>
      <c r="I4" s="3" t="s">
        <v>5</v>
      </c>
      <c r="J4" s="1"/>
      <c r="K4" s="1"/>
      <c r="L4" s="1"/>
      <c r="M4" s="1"/>
      <c r="N4" s="1"/>
      <c r="O4" s="1"/>
    </row>
    <row r="5" spans="1:15" x14ac:dyDescent="0.2">
      <c r="A5" s="2">
        <v>46051.91673611111</v>
      </c>
      <c r="B5" s="7" t="s">
        <v>95</v>
      </c>
      <c r="C5" s="3" t="s">
        <v>64</v>
      </c>
      <c r="D5" s="3" t="s">
        <v>56</v>
      </c>
      <c r="E5" s="3">
        <v>3</v>
      </c>
      <c r="F5" s="3">
        <v>25</v>
      </c>
      <c r="G5" s="3">
        <v>1</v>
      </c>
      <c r="H5" s="3"/>
      <c r="I5" s="3"/>
      <c r="J5" s="1"/>
      <c r="K5" s="1"/>
      <c r="L5" s="1"/>
      <c r="M5" s="1"/>
      <c r="N5" s="1"/>
      <c r="O5" s="1"/>
    </row>
    <row r="6" spans="1:15" x14ac:dyDescent="0.2">
      <c r="A6" s="2">
        <v>46089.759143518517</v>
      </c>
      <c r="B6" s="7" t="s">
        <v>34</v>
      </c>
      <c r="C6" s="3" t="s">
        <v>64</v>
      </c>
      <c r="D6" s="3" t="s">
        <v>56</v>
      </c>
      <c r="E6" s="3">
        <v>2</v>
      </c>
      <c r="F6" s="3">
        <v>50</v>
      </c>
      <c r="G6" s="3">
        <v>2</v>
      </c>
      <c r="H6" s="3">
        <v>0</v>
      </c>
      <c r="I6" s="1"/>
      <c r="J6" s="1"/>
      <c r="K6" s="1"/>
      <c r="L6" s="1"/>
      <c r="M6" s="1"/>
      <c r="N6" s="1"/>
      <c r="O6" s="1"/>
    </row>
    <row r="7" spans="1:15" x14ac:dyDescent="0.2">
      <c r="A7" s="8">
        <v>46128</v>
      </c>
      <c r="B7" s="1" t="s">
        <v>90</v>
      </c>
      <c r="C7" s="1" t="s">
        <v>64</v>
      </c>
      <c r="D7" s="1" t="s">
        <v>64</v>
      </c>
      <c r="E7" s="1">
        <v>2</v>
      </c>
      <c r="F7" s="1">
        <v>50</v>
      </c>
      <c r="G7" s="1">
        <v>2</v>
      </c>
      <c r="H7" s="1"/>
      <c r="I7" s="1"/>
      <c r="J7" s="1"/>
      <c r="K7" s="1"/>
      <c r="L7" s="1"/>
      <c r="M7" s="1"/>
      <c r="N7" s="1"/>
      <c r="O7" s="1"/>
    </row>
    <row r="8" spans="1:15" x14ac:dyDescent="0.2">
      <c r="A8" s="2">
        <v>46075.516053240739</v>
      </c>
      <c r="B8" s="7" t="s">
        <v>67</v>
      </c>
      <c r="C8" s="3" t="s">
        <v>68</v>
      </c>
      <c r="D8" s="3" t="s">
        <v>64</v>
      </c>
      <c r="E8" s="3" t="s">
        <v>100</v>
      </c>
      <c r="F8" s="3">
        <v>50</v>
      </c>
      <c r="G8" s="3">
        <v>2</v>
      </c>
      <c r="H8" s="1"/>
      <c r="I8" s="1"/>
      <c r="J8" s="1"/>
      <c r="K8" s="1"/>
      <c r="L8" s="1"/>
      <c r="M8" s="1"/>
      <c r="N8" s="1"/>
      <c r="O8" s="1"/>
    </row>
    <row r="9" spans="1:15" x14ac:dyDescent="0.2">
      <c r="A9" s="2">
        <v>46046.635648148149</v>
      </c>
      <c r="B9" s="7" t="s">
        <v>17</v>
      </c>
      <c r="C9" s="3" t="s">
        <v>63</v>
      </c>
      <c r="D9" s="3" t="s">
        <v>54</v>
      </c>
      <c r="E9" s="3">
        <v>2</v>
      </c>
      <c r="F9" s="3">
        <v>70</v>
      </c>
      <c r="G9" s="3">
        <v>2</v>
      </c>
      <c r="H9" s="3">
        <v>0</v>
      </c>
      <c r="I9" s="1"/>
      <c r="J9" s="1"/>
      <c r="K9" s="1"/>
      <c r="L9" s="1"/>
      <c r="M9" s="1"/>
      <c r="N9" s="1"/>
      <c r="O9" s="1"/>
    </row>
    <row r="10" spans="1:15" x14ac:dyDescent="0.2">
      <c r="A10" s="2">
        <v>46089.758125</v>
      </c>
      <c r="B10" s="7" t="s">
        <v>33</v>
      </c>
      <c r="C10" s="3" t="s">
        <v>63</v>
      </c>
      <c r="D10" s="3" t="s">
        <v>54</v>
      </c>
      <c r="E10" s="3">
        <v>2</v>
      </c>
      <c r="F10" s="3">
        <v>50</v>
      </c>
      <c r="G10" s="3">
        <v>2</v>
      </c>
      <c r="H10" s="3">
        <v>0</v>
      </c>
      <c r="I10" s="1"/>
      <c r="J10" s="1"/>
      <c r="K10" s="1"/>
      <c r="L10" s="1"/>
      <c r="M10" s="1"/>
      <c r="N10" s="1"/>
      <c r="O10" s="1"/>
    </row>
    <row r="11" spans="1:15" x14ac:dyDescent="0.2">
      <c r="A11" s="2">
        <v>46040.404421296298</v>
      </c>
      <c r="B11" s="7" t="s">
        <v>70</v>
      </c>
      <c r="C11" s="3" t="s">
        <v>53</v>
      </c>
      <c r="D11" s="3" t="s">
        <v>54</v>
      </c>
      <c r="E11" s="3" t="s">
        <v>101</v>
      </c>
      <c r="F11" s="3">
        <v>50</v>
      </c>
      <c r="G11" s="3">
        <v>2</v>
      </c>
      <c r="H11" s="3">
        <v>4</v>
      </c>
      <c r="I11" s="3" t="s">
        <v>3</v>
      </c>
      <c r="J11" s="1"/>
      <c r="K11" s="1"/>
      <c r="L11" s="1"/>
      <c r="M11" s="1"/>
      <c r="N11" s="1"/>
      <c r="O11" s="1"/>
    </row>
    <row r="12" spans="1:15" x14ac:dyDescent="0.2">
      <c r="A12" s="2">
        <v>46040.652465277781</v>
      </c>
      <c r="B12" s="3" t="s">
        <v>10</v>
      </c>
      <c r="C12" s="3" t="s">
        <v>53</v>
      </c>
      <c r="D12" s="3" t="s">
        <v>54</v>
      </c>
      <c r="E12" s="3">
        <v>2</v>
      </c>
      <c r="F12" s="3">
        <v>125</v>
      </c>
      <c r="G12" s="3">
        <v>2</v>
      </c>
      <c r="H12" s="3">
        <v>0</v>
      </c>
      <c r="I12" s="3" t="s">
        <v>11</v>
      </c>
      <c r="J12" s="1"/>
      <c r="K12" s="1"/>
      <c r="L12" s="1"/>
      <c r="M12" s="1"/>
      <c r="N12" s="1"/>
      <c r="O12" s="1"/>
    </row>
    <row r="13" spans="1:15" x14ac:dyDescent="0.2">
      <c r="A13" s="2">
        <v>46088.528194444443</v>
      </c>
      <c r="B13" s="3" t="s">
        <v>26</v>
      </c>
      <c r="C13" s="3" t="s">
        <v>53</v>
      </c>
      <c r="D13" s="3" t="s">
        <v>54</v>
      </c>
      <c r="E13" s="3">
        <v>3</v>
      </c>
      <c r="F13" s="3">
        <v>25</v>
      </c>
      <c r="G13" s="3">
        <v>1</v>
      </c>
      <c r="H13" s="3">
        <v>0</v>
      </c>
      <c r="I13" s="1"/>
      <c r="J13" s="1"/>
      <c r="K13" s="1"/>
      <c r="L13" s="1"/>
      <c r="M13" s="1"/>
      <c r="N13" s="1"/>
      <c r="O13" s="1"/>
    </row>
    <row r="14" spans="1:15" x14ac:dyDescent="0.2">
      <c r="A14" s="2">
        <v>46089.754016203704</v>
      </c>
      <c r="B14" s="3" t="s">
        <v>29</v>
      </c>
      <c r="C14" s="3" t="s">
        <v>71</v>
      </c>
      <c r="D14" s="3" t="s">
        <v>57</v>
      </c>
      <c r="E14" s="3">
        <v>2</v>
      </c>
      <c r="F14" s="3">
        <v>50</v>
      </c>
      <c r="G14" s="3">
        <v>2</v>
      </c>
      <c r="H14" s="3">
        <v>0</v>
      </c>
      <c r="I14" s="3" t="s">
        <v>30</v>
      </c>
      <c r="J14" s="1"/>
      <c r="K14" s="1"/>
      <c r="L14" s="1"/>
      <c r="M14" s="1"/>
      <c r="N14" s="1"/>
      <c r="O14" s="1"/>
    </row>
    <row r="15" spans="1:15" x14ac:dyDescent="0.2">
      <c r="A15" s="2">
        <v>46103.844872685186</v>
      </c>
      <c r="B15" s="3" t="s">
        <v>45</v>
      </c>
      <c r="C15" s="3" t="s">
        <v>71</v>
      </c>
      <c r="D15" s="3" t="s">
        <v>57</v>
      </c>
      <c r="E15" s="3" t="s">
        <v>101</v>
      </c>
      <c r="F15" s="3">
        <v>50</v>
      </c>
      <c r="G15" s="3">
        <v>2</v>
      </c>
      <c r="H15" s="3">
        <v>1</v>
      </c>
      <c r="I15" s="1"/>
      <c r="J15" s="1"/>
      <c r="K15" s="1"/>
      <c r="L15" s="1"/>
      <c r="M15" s="1"/>
      <c r="N15" s="1"/>
      <c r="O15" s="1"/>
    </row>
    <row r="16" spans="1:15" x14ac:dyDescent="0.2">
      <c r="A16" s="2">
        <v>46098.805972222224</v>
      </c>
      <c r="B16" s="7" t="s">
        <v>43</v>
      </c>
      <c r="C16" s="3" t="s">
        <v>74</v>
      </c>
      <c r="D16" s="3" t="s">
        <v>54</v>
      </c>
      <c r="E16" s="3">
        <v>2</v>
      </c>
      <c r="F16" s="3">
        <v>100</v>
      </c>
      <c r="G16" s="3">
        <v>4</v>
      </c>
      <c r="H16" s="3">
        <v>1</v>
      </c>
      <c r="I16" s="3" t="s">
        <v>44</v>
      </c>
      <c r="J16" s="1"/>
      <c r="K16" s="1"/>
      <c r="L16" s="1"/>
      <c r="M16" s="1"/>
      <c r="N16" s="1"/>
      <c r="O16" s="1"/>
    </row>
    <row r="17" spans="1:15" x14ac:dyDescent="0.2">
      <c r="A17" s="2">
        <v>46089.820543981485</v>
      </c>
      <c r="B17" s="7" t="s">
        <v>35</v>
      </c>
      <c r="C17" s="3" t="s">
        <v>66</v>
      </c>
      <c r="D17" s="3" t="s">
        <v>66</v>
      </c>
      <c r="E17" s="3">
        <v>2</v>
      </c>
      <c r="F17" s="3">
        <v>25</v>
      </c>
      <c r="G17" s="3">
        <v>1</v>
      </c>
      <c r="H17" s="3">
        <v>0</v>
      </c>
      <c r="I17" s="1"/>
      <c r="J17" s="1"/>
      <c r="K17" s="1"/>
      <c r="L17" s="1"/>
      <c r="M17" s="1"/>
      <c r="N17" s="1"/>
      <c r="O17" s="1"/>
    </row>
    <row r="18" spans="1:15" x14ac:dyDescent="0.2">
      <c r="A18" s="2">
        <v>46089.847280092596</v>
      </c>
      <c r="B18" s="7" t="s">
        <v>36</v>
      </c>
      <c r="C18" s="3" t="s">
        <v>66</v>
      </c>
      <c r="D18" s="3" t="s">
        <v>66</v>
      </c>
      <c r="E18" s="3">
        <v>2</v>
      </c>
      <c r="F18" s="3">
        <v>50</v>
      </c>
      <c r="G18" s="3">
        <v>2</v>
      </c>
      <c r="H18" s="3">
        <v>0</v>
      </c>
      <c r="I18" s="3" t="s">
        <v>37</v>
      </c>
      <c r="J18" s="1"/>
      <c r="K18" s="1"/>
      <c r="L18" s="1"/>
      <c r="M18" s="1"/>
      <c r="N18" s="1"/>
      <c r="O18" s="1"/>
    </row>
    <row r="19" spans="1:15" x14ac:dyDescent="0.2">
      <c r="A19" s="2">
        <v>46040.407604166663</v>
      </c>
      <c r="B19" s="7" t="s">
        <v>4</v>
      </c>
      <c r="C19" s="3" t="s">
        <v>55</v>
      </c>
      <c r="D19" s="3" t="s">
        <v>56</v>
      </c>
      <c r="E19" s="3">
        <v>2</v>
      </c>
      <c r="F19" s="3">
        <v>50</v>
      </c>
      <c r="G19" s="3">
        <v>2</v>
      </c>
      <c r="H19" s="3">
        <v>0</v>
      </c>
      <c r="I19" s="3" t="s">
        <v>5</v>
      </c>
      <c r="J19" s="1"/>
      <c r="K19" s="1"/>
      <c r="L19" s="1"/>
      <c r="M19" s="1"/>
      <c r="N19" s="1"/>
      <c r="O19" s="1"/>
    </row>
    <row r="20" spans="1:15" x14ac:dyDescent="0.2">
      <c r="A20" s="2">
        <v>46040.441863425927</v>
      </c>
      <c r="B20" s="3" t="s">
        <v>7</v>
      </c>
      <c r="C20" s="3" t="s">
        <v>58</v>
      </c>
      <c r="D20" s="3" t="s">
        <v>56</v>
      </c>
      <c r="E20" s="3" t="s">
        <v>101</v>
      </c>
      <c r="F20" s="3">
        <v>50</v>
      </c>
      <c r="G20" s="3">
        <v>2</v>
      </c>
      <c r="H20" s="3">
        <v>2</v>
      </c>
      <c r="I20" s="3" t="s">
        <v>8</v>
      </c>
      <c r="J20" s="1"/>
      <c r="K20" s="1"/>
      <c r="L20" s="1"/>
      <c r="M20" s="1"/>
      <c r="N20" s="1"/>
      <c r="O20" s="1"/>
    </row>
    <row r="21" spans="1:15" x14ac:dyDescent="0.2">
      <c r="A21" s="2">
        <v>46040.724918981483</v>
      </c>
      <c r="B21" s="7" t="s">
        <v>12</v>
      </c>
      <c r="C21" s="3" t="s">
        <v>60</v>
      </c>
      <c r="D21" s="3" t="s">
        <v>60</v>
      </c>
      <c r="E21" s="3">
        <v>2</v>
      </c>
      <c r="F21" s="3">
        <v>50</v>
      </c>
      <c r="G21" s="3">
        <v>2</v>
      </c>
      <c r="H21" s="3">
        <v>0</v>
      </c>
      <c r="I21" s="1"/>
      <c r="J21" s="1"/>
      <c r="K21" s="1"/>
      <c r="L21" s="1"/>
      <c r="M21" s="1"/>
      <c r="N21" s="1"/>
      <c r="O21" s="1"/>
    </row>
    <row r="22" spans="1:15" ht="17" customHeight="1" x14ac:dyDescent="0.2">
      <c r="A22" s="2">
        <v>46069.328900462962</v>
      </c>
      <c r="B22" s="7" t="s">
        <v>20</v>
      </c>
      <c r="C22" s="3" t="s">
        <v>60</v>
      </c>
      <c r="D22" s="3" t="s">
        <v>60</v>
      </c>
      <c r="E22" s="3" t="s">
        <v>100</v>
      </c>
      <c r="F22" s="3">
        <v>75</v>
      </c>
      <c r="G22" s="3">
        <v>3</v>
      </c>
      <c r="H22" s="3">
        <v>2</v>
      </c>
      <c r="I22" s="1"/>
      <c r="J22" s="1"/>
      <c r="K22" s="1"/>
      <c r="L22" s="1"/>
      <c r="M22" s="1"/>
      <c r="N22" s="1"/>
      <c r="O22" s="1"/>
    </row>
    <row r="23" spans="1:15" ht="17" customHeight="1" x14ac:dyDescent="0.2">
      <c r="A23" s="2">
        <v>46143</v>
      </c>
      <c r="B23" s="7" t="s">
        <v>98</v>
      </c>
      <c r="C23" s="3" t="s">
        <v>60</v>
      </c>
      <c r="D23" s="3" t="s">
        <v>60</v>
      </c>
      <c r="E23" s="3">
        <v>2</v>
      </c>
      <c r="F23" s="3">
        <v>25</v>
      </c>
      <c r="G23" s="3"/>
      <c r="H23" s="3"/>
      <c r="I23" s="1"/>
      <c r="J23" s="1"/>
      <c r="K23" s="1"/>
      <c r="L23" s="1"/>
      <c r="M23" s="1"/>
      <c r="N23" s="1"/>
      <c r="O23" s="1"/>
    </row>
    <row r="24" spans="1:15" x14ac:dyDescent="0.2">
      <c r="A24" s="2">
        <v>46110</v>
      </c>
      <c r="B24" s="3" t="s">
        <v>80</v>
      </c>
      <c r="C24" s="3" t="s">
        <v>79</v>
      </c>
      <c r="D24" s="3" t="s">
        <v>81</v>
      </c>
      <c r="E24" s="3">
        <v>1</v>
      </c>
      <c r="F24" s="3"/>
      <c r="G24" s="3">
        <v>2</v>
      </c>
      <c r="H24" s="3"/>
      <c r="J24" s="1"/>
      <c r="K24" s="1"/>
      <c r="L24" s="1"/>
      <c r="M24" s="1"/>
      <c r="N24" s="1"/>
      <c r="O24" s="1"/>
    </row>
    <row r="25" spans="1:15" x14ac:dyDescent="0.2">
      <c r="A25" s="2">
        <v>46095.192766203705</v>
      </c>
      <c r="B25" s="3" t="s">
        <v>42</v>
      </c>
      <c r="C25" s="3" t="s">
        <v>73</v>
      </c>
      <c r="D25" s="3" t="s">
        <v>57</v>
      </c>
      <c r="E25" s="3">
        <v>2</v>
      </c>
      <c r="F25" s="3">
        <v>25</v>
      </c>
      <c r="G25" s="3">
        <v>1</v>
      </c>
      <c r="H25" s="3">
        <v>0</v>
      </c>
      <c r="I25" s="1"/>
      <c r="K25" s="1"/>
      <c r="L25" s="1"/>
      <c r="M25" s="1"/>
      <c r="N25" s="1"/>
      <c r="O25" s="1"/>
    </row>
    <row r="26" spans="1:15" x14ac:dyDescent="0.2">
      <c r="A26" s="2">
        <v>46051.91673611111</v>
      </c>
      <c r="B26" s="7" t="s">
        <v>96</v>
      </c>
      <c r="C26" s="3" t="s">
        <v>97</v>
      </c>
      <c r="D26" s="3" t="s">
        <v>64</v>
      </c>
      <c r="E26" s="3">
        <v>3</v>
      </c>
      <c r="F26" s="3">
        <v>25</v>
      </c>
      <c r="G26" s="3">
        <v>1</v>
      </c>
      <c r="H26" s="3"/>
      <c r="I26" s="3"/>
      <c r="J26" s="1"/>
      <c r="K26" s="1"/>
      <c r="L26" s="1"/>
      <c r="M26" s="1"/>
      <c r="N26" s="1"/>
      <c r="O26" s="1"/>
    </row>
    <row r="27" spans="1:15" x14ac:dyDescent="0.2">
      <c r="A27" s="2">
        <v>46040.530381944445</v>
      </c>
      <c r="B27" s="3" t="s">
        <v>9</v>
      </c>
      <c r="C27" s="3" t="s">
        <v>59</v>
      </c>
      <c r="D27" s="3" t="s">
        <v>59</v>
      </c>
      <c r="E27" s="3" t="s">
        <v>101</v>
      </c>
      <c r="F27" s="3">
        <v>50</v>
      </c>
      <c r="G27" s="3">
        <v>2</v>
      </c>
      <c r="H27" s="3">
        <v>1</v>
      </c>
      <c r="I27" s="1"/>
      <c r="J27" s="1"/>
      <c r="K27" s="1"/>
      <c r="L27" s="1"/>
      <c r="M27" s="1"/>
      <c r="N27" s="1"/>
      <c r="O27" s="1"/>
    </row>
    <row r="28" spans="1:15" x14ac:dyDescent="0.2">
      <c r="A28" s="2">
        <v>46040.750972222224</v>
      </c>
      <c r="B28" s="3" t="s">
        <v>13</v>
      </c>
      <c r="C28" s="3" t="s">
        <v>59</v>
      </c>
      <c r="D28" s="3" t="s">
        <v>59</v>
      </c>
      <c r="E28" s="3">
        <v>3</v>
      </c>
      <c r="F28" s="3">
        <v>50</v>
      </c>
      <c r="G28" s="3">
        <v>2</v>
      </c>
      <c r="H28" s="3">
        <v>0</v>
      </c>
      <c r="I28" s="1"/>
      <c r="J28" s="1"/>
      <c r="K28" s="1"/>
      <c r="L28" s="1"/>
      <c r="M28" s="1"/>
      <c r="N28" s="1"/>
      <c r="O28" s="1"/>
    </row>
    <row r="29" spans="1:15" x14ac:dyDescent="0.2">
      <c r="A29" s="2">
        <v>46091.853344907409</v>
      </c>
      <c r="B29" s="3" t="s">
        <v>41</v>
      </c>
      <c r="C29" s="3" t="s">
        <v>59</v>
      </c>
      <c r="D29" s="3" t="s">
        <v>59</v>
      </c>
      <c r="E29" s="3" t="s">
        <v>100</v>
      </c>
      <c r="F29" s="3">
        <v>100</v>
      </c>
      <c r="G29" s="3">
        <v>2</v>
      </c>
      <c r="H29" s="3">
        <v>1</v>
      </c>
      <c r="I29" s="1"/>
      <c r="J29" s="1"/>
      <c r="K29" s="1"/>
      <c r="L29" s="1"/>
      <c r="M29" s="1"/>
      <c r="N29" s="1"/>
      <c r="O29" s="1"/>
    </row>
    <row r="30" spans="1:15" x14ac:dyDescent="0.2">
      <c r="A30" s="2">
        <v>46110</v>
      </c>
      <c r="B30" s="3" t="s">
        <v>75</v>
      </c>
      <c r="C30" s="3" t="s">
        <v>59</v>
      </c>
      <c r="D30" s="3" t="s">
        <v>59</v>
      </c>
      <c r="E30" s="3">
        <v>2</v>
      </c>
      <c r="F30" s="3">
        <v>50</v>
      </c>
      <c r="G30" s="3">
        <v>2</v>
      </c>
      <c r="H30" s="3"/>
      <c r="I30" s="1"/>
      <c r="J30" s="1"/>
      <c r="K30" s="1"/>
      <c r="L30" s="1"/>
      <c r="M30" s="1"/>
      <c r="N30" s="1"/>
      <c r="O30" s="1"/>
    </row>
    <row r="31" spans="1:15" x14ac:dyDescent="0.2">
      <c r="A31" s="2">
        <v>46111</v>
      </c>
      <c r="B31" s="3" t="s">
        <v>76</v>
      </c>
      <c r="C31" s="3" t="s">
        <v>59</v>
      </c>
      <c r="D31" s="3" t="s">
        <v>59</v>
      </c>
      <c r="E31" s="3" t="s">
        <v>100</v>
      </c>
      <c r="F31" s="3"/>
      <c r="G31" s="3">
        <v>3</v>
      </c>
      <c r="H31" s="3"/>
      <c r="I31" s="1"/>
      <c r="J31" s="1"/>
      <c r="K31" s="1"/>
      <c r="L31" s="1"/>
      <c r="M31" s="1"/>
      <c r="N31" s="1"/>
      <c r="O31" s="1"/>
    </row>
    <row r="32" spans="1:15" x14ac:dyDescent="0.2">
      <c r="A32" s="2">
        <v>46112</v>
      </c>
      <c r="B32" s="3" t="s">
        <v>77</v>
      </c>
      <c r="C32" s="3" t="s">
        <v>59</v>
      </c>
      <c r="D32" s="3" t="s">
        <v>59</v>
      </c>
      <c r="E32" s="3">
        <v>1</v>
      </c>
      <c r="F32" s="3">
        <v>0</v>
      </c>
      <c r="G32" s="3">
        <v>2</v>
      </c>
      <c r="H32" s="3"/>
      <c r="I32" s="1"/>
      <c r="J32" s="1"/>
      <c r="K32" s="1"/>
      <c r="L32" s="1"/>
      <c r="M32" s="1"/>
      <c r="N32" s="1"/>
      <c r="O32" s="1"/>
    </row>
    <row r="33" spans="1:15" x14ac:dyDescent="0.2">
      <c r="A33" s="2">
        <v>46113</v>
      </c>
      <c r="B33" s="3" t="s">
        <v>78</v>
      </c>
      <c r="C33" s="3" t="s">
        <v>59</v>
      </c>
      <c r="D33" s="3" t="s">
        <v>59</v>
      </c>
      <c r="E33" s="3" t="s">
        <v>101</v>
      </c>
      <c r="F33" s="3">
        <v>50</v>
      </c>
      <c r="G33" s="3">
        <v>2</v>
      </c>
      <c r="H33" s="3">
        <v>3</v>
      </c>
      <c r="I33" s="1"/>
      <c r="J33" s="1"/>
      <c r="K33" s="1"/>
      <c r="L33" s="1"/>
      <c r="M33" s="1"/>
      <c r="N33" s="1"/>
      <c r="O33" s="1"/>
    </row>
    <row r="34" spans="1:15" x14ac:dyDescent="0.2">
      <c r="A34" s="2">
        <v>46040.926655092589</v>
      </c>
      <c r="B34" s="3" t="s">
        <v>14</v>
      </c>
      <c r="C34" s="3" t="s">
        <v>61</v>
      </c>
      <c r="D34" s="3" t="s">
        <v>62</v>
      </c>
      <c r="E34" s="3" t="s">
        <v>100</v>
      </c>
      <c r="F34" s="3">
        <v>50</v>
      </c>
      <c r="G34" s="3">
        <v>2</v>
      </c>
      <c r="H34" s="3">
        <v>2</v>
      </c>
      <c r="I34" s="1"/>
      <c r="J34" s="1"/>
      <c r="K34" s="1"/>
      <c r="L34" s="1"/>
      <c r="M34" s="1"/>
      <c r="N34" s="1"/>
      <c r="O34" s="1"/>
    </row>
    <row r="35" spans="1:15" x14ac:dyDescent="0.2">
      <c r="A35" s="2">
        <v>46081.436608796299</v>
      </c>
      <c r="B35" s="3" t="s">
        <v>21</v>
      </c>
      <c r="C35" s="3" t="s">
        <v>69</v>
      </c>
      <c r="D35" s="3" t="s">
        <v>64</v>
      </c>
      <c r="E35" s="3">
        <v>3</v>
      </c>
      <c r="F35" s="3">
        <v>25</v>
      </c>
      <c r="G35" s="1">
        <v>1</v>
      </c>
      <c r="H35" s="3">
        <v>0</v>
      </c>
      <c r="I35" s="1"/>
      <c r="J35" s="1"/>
      <c r="K35" s="1"/>
      <c r="L35" s="1"/>
      <c r="M35" s="1"/>
      <c r="N35" s="1"/>
      <c r="O35" s="1"/>
    </row>
    <row r="36" spans="1:15" x14ac:dyDescent="0.2">
      <c r="A36" s="2">
        <v>46041.780613425923</v>
      </c>
      <c r="B36" s="3" t="s">
        <v>15</v>
      </c>
      <c r="C36" s="3" t="s">
        <v>62</v>
      </c>
      <c r="D36" s="3" t="s">
        <v>62</v>
      </c>
      <c r="E36" s="3">
        <v>1</v>
      </c>
      <c r="F36" s="3"/>
      <c r="G36" s="3">
        <v>2</v>
      </c>
      <c r="H36" s="3">
        <v>0</v>
      </c>
      <c r="I36" s="1"/>
      <c r="J36" s="1"/>
      <c r="K36" s="1"/>
      <c r="L36" s="1"/>
      <c r="M36" s="1"/>
      <c r="N36" s="1"/>
      <c r="O36" s="1"/>
    </row>
    <row r="37" spans="1:15" x14ac:dyDescent="0.2">
      <c r="A37" s="2">
        <v>46103.919699074075</v>
      </c>
      <c r="B37" s="7" t="s">
        <v>46</v>
      </c>
      <c r="C37" s="3" t="s">
        <v>72</v>
      </c>
      <c r="D37" s="3" t="s">
        <v>66</v>
      </c>
      <c r="E37" s="3">
        <v>2</v>
      </c>
      <c r="F37" s="3"/>
      <c r="G37" s="3">
        <v>1</v>
      </c>
      <c r="H37" s="3">
        <v>0</v>
      </c>
      <c r="I37" s="1"/>
      <c r="J37" s="1"/>
      <c r="K37" s="1"/>
      <c r="L37" s="1"/>
      <c r="M37" s="1"/>
      <c r="N37" s="1"/>
      <c r="O37" s="1"/>
    </row>
    <row r="38" spans="1:15" x14ac:dyDescent="0.2">
      <c r="A38" s="2">
        <v>46040.405821759261</v>
      </c>
      <c r="B38" s="1" t="s">
        <v>87</v>
      </c>
      <c r="C38" s="1" t="s">
        <v>57</v>
      </c>
      <c r="D38" s="1" t="s">
        <v>57</v>
      </c>
      <c r="E38" s="1">
        <v>1</v>
      </c>
      <c r="F38" s="1"/>
      <c r="G38" s="3">
        <v>1</v>
      </c>
      <c r="H38" s="3">
        <v>0</v>
      </c>
      <c r="I38" s="3"/>
      <c r="J38" s="1"/>
      <c r="K38" s="1"/>
      <c r="L38" s="1"/>
      <c r="M38" s="1"/>
      <c r="N38" s="1"/>
      <c r="O38" s="1"/>
    </row>
    <row r="39" spans="1:15" x14ac:dyDescent="0.2">
      <c r="A39" s="2">
        <v>46040.431064814817</v>
      </c>
      <c r="B39" s="3" t="s">
        <v>6</v>
      </c>
      <c r="C39" s="3" t="s">
        <v>57</v>
      </c>
      <c r="D39" s="3" t="s">
        <v>57</v>
      </c>
      <c r="E39" s="3">
        <v>3</v>
      </c>
      <c r="F39" s="3">
        <v>25</v>
      </c>
      <c r="G39" s="3">
        <v>1</v>
      </c>
      <c r="H39" s="3">
        <v>0</v>
      </c>
      <c r="I39" s="1"/>
      <c r="J39" s="1"/>
      <c r="K39" s="1"/>
      <c r="L39" s="1"/>
      <c r="M39" s="1"/>
      <c r="N39" s="1"/>
      <c r="O39" s="1"/>
    </row>
    <row r="40" spans="1:15" x14ac:dyDescent="0.2">
      <c r="A40" s="2">
        <v>46042.474479166667</v>
      </c>
      <c r="B40" s="3" t="s">
        <v>16</v>
      </c>
      <c r="C40" s="3" t="s">
        <v>57</v>
      </c>
      <c r="D40" s="3" t="s">
        <v>57</v>
      </c>
      <c r="E40" s="3">
        <v>3</v>
      </c>
      <c r="F40" s="3"/>
      <c r="G40" s="3">
        <v>1</v>
      </c>
      <c r="H40" s="3">
        <v>0</v>
      </c>
      <c r="I40" s="1"/>
      <c r="J40" s="1"/>
    </row>
    <row r="41" spans="1:15" x14ac:dyDescent="0.2">
      <c r="A41" s="2">
        <v>46104.527395833335</v>
      </c>
      <c r="B41" s="3" t="s">
        <v>47</v>
      </c>
      <c r="C41" s="3" t="s">
        <v>57</v>
      </c>
      <c r="D41" s="3" t="s">
        <v>57</v>
      </c>
      <c r="E41" s="3" t="s">
        <v>103</v>
      </c>
      <c r="F41" s="3">
        <v>100</v>
      </c>
      <c r="G41" s="3">
        <v>4</v>
      </c>
      <c r="H41" s="3">
        <v>4</v>
      </c>
      <c r="I41" s="1"/>
      <c r="J41" s="1"/>
      <c r="K41" s="1"/>
      <c r="L41" s="1"/>
      <c r="M41" s="1"/>
      <c r="N41" s="1"/>
      <c r="O41" s="1"/>
    </row>
    <row r="42" spans="1:15" x14ac:dyDescent="0.2">
      <c r="A42" s="1" t="s">
        <v>91</v>
      </c>
      <c r="B42" s="1"/>
      <c r="C42" s="1"/>
      <c r="D42" s="1"/>
      <c r="E42" s="1"/>
      <c r="F42" s="1">
        <f>SUM(F2:F41)</f>
        <v>1845</v>
      </c>
      <c r="G42" s="1">
        <f>SUM(G2:G41)</f>
        <v>75</v>
      </c>
      <c r="H42" s="1">
        <f>SUM(H2:H41)</f>
        <v>25</v>
      </c>
      <c r="I42" s="1"/>
      <c r="J42" s="1"/>
      <c r="K42" s="1"/>
      <c r="L42" s="1"/>
      <c r="M42" s="1"/>
      <c r="N42" s="1"/>
      <c r="O42" s="1"/>
    </row>
    <row r="43" spans="1:15" x14ac:dyDescent="0.2">
      <c r="A43" s="1"/>
      <c r="B43" s="1"/>
      <c r="C43" s="1"/>
      <c r="D43" s="1"/>
      <c r="E43" s="1"/>
      <c r="F43" s="1">
        <f>F42+25+25+25+50+50+50</f>
        <v>2070</v>
      </c>
      <c r="G43" s="1">
        <f>G42*25</f>
        <v>1875</v>
      </c>
      <c r="H43" s="1"/>
      <c r="I43" s="1"/>
      <c r="J43" s="1"/>
      <c r="K43" s="1"/>
      <c r="L43" s="1"/>
      <c r="M43" s="1"/>
      <c r="N43" s="1"/>
      <c r="O43" s="1"/>
    </row>
    <row r="44" spans="1:15" x14ac:dyDescent="0.2">
      <c r="A44" s="1" t="s">
        <v>88</v>
      </c>
      <c r="B44" s="1" t="s">
        <v>89</v>
      </c>
      <c r="C44" s="1" t="s">
        <v>60</v>
      </c>
      <c r="D44" s="1" t="s">
        <v>60</v>
      </c>
      <c r="E44" s="1"/>
      <c r="F44" s="1"/>
      <c r="G44" s="1">
        <v>2</v>
      </c>
      <c r="H44" s="1">
        <v>2</v>
      </c>
      <c r="I44" s="1"/>
      <c r="J44" s="1"/>
      <c r="K44" s="1"/>
      <c r="L44" s="1"/>
      <c r="M44" s="1"/>
      <c r="N44" s="1"/>
      <c r="O44" s="1"/>
    </row>
    <row r="45" spans="1:15" x14ac:dyDescent="0.2">
      <c r="A45" s="2">
        <v>46090.868587962963</v>
      </c>
      <c r="B45" s="3" t="s">
        <v>38</v>
      </c>
      <c r="C45" s="3" t="s">
        <v>72</v>
      </c>
      <c r="D45" s="3" t="s">
        <v>66</v>
      </c>
      <c r="E45" s="3"/>
      <c r="F45" s="3"/>
      <c r="G45" s="3">
        <v>0</v>
      </c>
      <c r="H45" s="3">
        <v>0</v>
      </c>
      <c r="I45" s="1"/>
      <c r="J45" s="1"/>
      <c r="K45" s="1"/>
      <c r="L45" s="1"/>
      <c r="M45" s="1"/>
      <c r="N45" s="1"/>
      <c r="O45" s="1"/>
    </row>
    <row r="46" spans="1:1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">
      <c r="A47" s="2">
        <v>46085.3127662037</v>
      </c>
      <c r="B47" s="3" t="s">
        <v>22</v>
      </c>
      <c r="C47" s="3"/>
      <c r="D47" s="3"/>
      <c r="E47" s="3"/>
      <c r="F47" s="3"/>
      <c r="G47" s="3" t="s">
        <v>23</v>
      </c>
      <c r="H47" s="3">
        <v>0</v>
      </c>
      <c r="I47" s="1"/>
      <c r="J47" s="1"/>
      <c r="K47" s="1"/>
      <c r="L47" s="1"/>
      <c r="M47" s="1"/>
      <c r="N47" s="1"/>
      <c r="O47" s="1"/>
    </row>
    <row r="48" spans="1:15" x14ac:dyDescent="0.2">
      <c r="A48" s="2">
        <v>46085.325509259259</v>
      </c>
      <c r="B48" s="3" t="s">
        <v>24</v>
      </c>
      <c r="C48" s="3"/>
      <c r="D48" s="3"/>
      <c r="E48" s="3"/>
      <c r="F48" s="3"/>
      <c r="G48" s="3" t="s">
        <v>25</v>
      </c>
      <c r="H48" s="3">
        <v>0</v>
      </c>
      <c r="I48" s="1"/>
      <c r="J48" s="1"/>
      <c r="K48" s="1"/>
      <c r="L48" s="1"/>
      <c r="M48" s="1"/>
      <c r="N48" s="1"/>
      <c r="O48" s="1"/>
    </row>
    <row r="49" spans="1:15" x14ac:dyDescent="0.2">
      <c r="A49" s="2">
        <v>46089.7497337963</v>
      </c>
      <c r="B49" s="3" t="s">
        <v>27</v>
      </c>
      <c r="C49" s="3"/>
      <c r="D49" s="3"/>
      <c r="E49" s="3"/>
      <c r="F49" s="3"/>
      <c r="G49" s="3" t="s">
        <v>28</v>
      </c>
      <c r="H49" s="3">
        <v>0</v>
      </c>
      <c r="I49" s="1"/>
      <c r="J49" s="1"/>
      <c r="K49" s="1"/>
      <c r="L49" s="1"/>
      <c r="M49" s="1"/>
      <c r="N49" s="1"/>
      <c r="O49" s="1"/>
    </row>
    <row r="50" spans="1:15" x14ac:dyDescent="0.2">
      <c r="A50" s="2">
        <v>46089.756053240744</v>
      </c>
      <c r="B50" s="3" t="s">
        <v>31</v>
      </c>
      <c r="C50" s="3"/>
      <c r="D50" s="3"/>
      <c r="E50" s="3"/>
      <c r="F50" s="3"/>
      <c r="G50" s="3" t="s">
        <v>32</v>
      </c>
      <c r="H50" s="3">
        <v>0</v>
      </c>
      <c r="I50" s="1"/>
      <c r="J50" s="1"/>
      <c r="K50" s="1"/>
      <c r="L50" s="1"/>
      <c r="M50" s="1"/>
      <c r="N50" s="1"/>
      <c r="O50" s="1"/>
    </row>
    <row r="51" spans="1:15" x14ac:dyDescent="0.2">
      <c r="A51" s="2">
        <v>46091.832071759258</v>
      </c>
      <c r="B51" s="3" t="s">
        <v>39</v>
      </c>
      <c r="C51" s="3"/>
      <c r="D51" s="3"/>
      <c r="E51" s="3"/>
      <c r="F51" s="3"/>
      <c r="G51" s="3" t="s">
        <v>40</v>
      </c>
      <c r="H51" s="1"/>
      <c r="I51" s="1"/>
      <c r="J51" s="1"/>
      <c r="K51" s="1"/>
      <c r="L51" s="1"/>
      <c r="M51" s="1"/>
      <c r="N51" s="1"/>
      <c r="O51" s="1"/>
    </row>
    <row r="52" spans="1:15" x14ac:dyDescent="0.2">
      <c r="A52" s="2">
        <v>46106.65525462963</v>
      </c>
      <c r="B52" s="3" t="s">
        <v>48</v>
      </c>
      <c r="C52" s="3"/>
      <c r="D52" s="3"/>
      <c r="E52" s="3"/>
      <c r="F52" s="3"/>
      <c r="G52" s="3">
        <v>0</v>
      </c>
      <c r="H52" s="3">
        <v>0</v>
      </c>
      <c r="I52" s="1"/>
      <c r="J52" s="1"/>
      <c r="K52" s="1"/>
      <c r="L52" s="1"/>
      <c r="M52" s="1"/>
      <c r="N52" s="1"/>
      <c r="O52" s="1"/>
    </row>
    <row r="53" spans="1:15" x14ac:dyDescent="0.2">
      <c r="A53" s="2">
        <v>46107.65525462963</v>
      </c>
      <c r="B53" s="1" t="s">
        <v>82</v>
      </c>
      <c r="C53" s="1" t="s">
        <v>83</v>
      </c>
      <c r="D53" s="1" t="s">
        <v>84</v>
      </c>
      <c r="E53" s="1"/>
      <c r="F53" s="1"/>
      <c r="G53" s="1">
        <v>0</v>
      </c>
      <c r="H53" s="1">
        <v>0</v>
      </c>
      <c r="I53" s="1"/>
      <c r="J53" s="1"/>
      <c r="K53" s="1"/>
      <c r="L53" s="1"/>
      <c r="M53" s="1"/>
      <c r="N53" s="1"/>
      <c r="O53" s="1"/>
    </row>
    <row r="54" spans="1:15" x14ac:dyDescent="0.2">
      <c r="A54" s="1"/>
      <c r="B54" s="1" t="s">
        <v>85</v>
      </c>
      <c r="C54" s="1" t="s">
        <v>86</v>
      </c>
      <c r="D54" s="1" t="s">
        <v>86</v>
      </c>
      <c r="E54" s="1"/>
      <c r="F54" s="1"/>
      <c r="G54" s="1">
        <v>0</v>
      </c>
      <c r="H54" s="1">
        <v>0</v>
      </c>
      <c r="I54" s="1"/>
      <c r="J54" s="1"/>
      <c r="K54" s="1"/>
      <c r="L54" s="1"/>
      <c r="M54" s="1"/>
      <c r="N54" s="1"/>
      <c r="O54" s="1"/>
    </row>
    <row r="55" spans="1:1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spans="1:1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spans="1:1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spans="1:1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spans="1:1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spans="1:1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spans="1:1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spans="1:1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</sheetData>
  <autoFilter ref="A1:I42" xr:uid="{4ACC898B-6AF8-164E-8375-450BEBA912CF}">
    <sortState xmlns:xlrd2="http://schemas.microsoft.com/office/spreadsheetml/2017/richdata2" ref="A2:I42">
      <sortCondition ref="C1:C42"/>
    </sortState>
  </autoFilter>
  <sortState xmlns:xlrd2="http://schemas.microsoft.com/office/spreadsheetml/2017/richdata2" ref="A2:J41">
    <sortCondition ref="C2:C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Narozniak</dc:creator>
  <cp:lastModifiedBy>Yuri Narozniak</cp:lastModifiedBy>
  <dcterms:created xsi:type="dcterms:W3CDTF">2026-03-29T17:24:09Z</dcterms:created>
  <dcterms:modified xsi:type="dcterms:W3CDTF">2026-05-13T05:39:06Z</dcterms:modified>
</cp:coreProperties>
</file>